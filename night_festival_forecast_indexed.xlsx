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night-festival-forecast\"/>
    </mc:Choice>
  </mc:AlternateContent>
  <xr:revisionPtr revIDLastSave="0" documentId="13_ncr:1_{0F561B5D-792D-4546-81BC-26CBD7B0B036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About" sheetId="1" r:id="rId1"/>
    <sheet name="Data" sheetId="2" r:id="rId2"/>
    <sheet name="Forecast" sheetId="3" r:id="rId3"/>
    <sheet name="Evaluation" sheetId="4" r:id="rId4"/>
    <sheet name="Char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5" l="1"/>
  <c r="B24" i="5"/>
  <c r="C22" i="5"/>
  <c r="B22" i="5"/>
  <c r="C21" i="5"/>
  <c r="B21" i="5"/>
  <c r="C5" i="5"/>
  <c r="B5" i="5"/>
  <c r="C4" i="5"/>
  <c r="B4" i="5"/>
  <c r="C3" i="5"/>
  <c r="B3" i="5"/>
  <c r="C2" i="5"/>
  <c r="B2" i="5"/>
  <c r="B16" i="4"/>
  <c r="C5" i="4"/>
  <c r="B5" i="4"/>
  <c r="D5" i="4" s="1"/>
  <c r="B26" i="3"/>
  <c r="C23" i="3"/>
  <c r="B23" i="3"/>
  <c r="C22" i="3"/>
  <c r="B15" i="4" s="1"/>
  <c r="B22" i="3"/>
  <c r="C21" i="3"/>
  <c r="C24" i="3" s="1"/>
  <c r="B21" i="3"/>
  <c r="B16" i="3"/>
  <c r="B15" i="3"/>
  <c r="B12" i="3"/>
  <c r="B11" i="3"/>
  <c r="E7" i="3"/>
  <c r="C7" i="3"/>
  <c r="B7" i="3"/>
  <c r="D7" i="3" s="1"/>
  <c r="E6" i="3"/>
  <c r="C6" i="3"/>
  <c r="B6" i="3"/>
  <c r="D6" i="3" s="1"/>
  <c r="B13" i="3" l="1"/>
  <c r="D23" i="3"/>
  <c r="B30" i="3" s="1"/>
  <c r="D22" i="3"/>
  <c r="B29" i="3" s="1"/>
  <c r="B14" i="4"/>
  <c r="E6" i="4"/>
  <c r="E7" i="4"/>
  <c r="E8" i="4"/>
  <c r="B24" i="3"/>
  <c r="D21" i="3"/>
  <c r="F6" i="3"/>
  <c r="F7" i="3"/>
  <c r="C6" i="4" s="1"/>
  <c r="I6" i="4" s="1"/>
  <c r="C15" i="3" l="1"/>
  <c r="D15" i="3" s="1"/>
  <c r="C16" i="3"/>
  <c r="D16" i="3" s="1"/>
  <c r="C7" i="4" s="1"/>
  <c r="I7" i="4" s="1"/>
  <c r="B27" i="3"/>
  <c r="D24" i="3"/>
  <c r="F8" i="3"/>
  <c r="B6" i="4"/>
  <c r="B7" i="4" l="1"/>
  <c r="D17" i="3"/>
  <c r="C30" i="3"/>
  <c r="C29" i="3"/>
  <c r="D6" i="4"/>
  <c r="F6" i="4" s="1"/>
  <c r="H6" i="4"/>
  <c r="D7" i="4" l="1"/>
  <c r="F7" i="4" s="1"/>
  <c r="H7" i="4"/>
  <c r="C8" i="4"/>
  <c r="I8" i="4" s="1"/>
  <c r="C23" i="5"/>
  <c r="B23" i="5"/>
  <c r="C31" i="3"/>
  <c r="B8" i="4"/>
  <c r="G7" i="4"/>
  <c r="J7" i="4"/>
  <c r="G6" i="4"/>
  <c r="J6" i="4"/>
  <c r="D8" i="4" l="1"/>
  <c r="F8" i="4" s="1"/>
  <c r="H8" i="4"/>
  <c r="G8" i="4" l="1"/>
  <c r="J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Fong</author>
  </authors>
  <commentList>
    <comment ref="D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Missing in the source data.</t>
        </r>
      </text>
    </comment>
  </commentList>
</comments>
</file>

<file path=xl/sharedStrings.xml><?xml version="1.0" encoding="utf-8"?>
<sst xmlns="http://schemas.openxmlformats.org/spreadsheetml/2006/main" count="118" uniqueCount="75">
  <si>
    <t>Night Festival Attendance Analysis &amp; Forecast (2023–2026)</t>
  </si>
  <si>
    <t>Personal side project. Not an official museum forecast or operational target.</t>
  </si>
  <si>
    <t>All attendance values are an index: 2024 Weekend 3 (Friday + Saturday) = 100. Real visitor counts are not published. Ratios, shares and % errors are unchanged by indexing.</t>
  </si>
  <si>
    <t>Sheets</t>
  </si>
  <si>
    <t>Data</t>
  </si>
  <si>
    <t>Friday and Saturday attendance index by year and festival weekend.</t>
  </si>
  <si>
    <t>Forecast</t>
  </si>
  <si>
    <t>Three pre-event models for 2026 Weekend 3; Model 3 was selected and frozen on 1 Sept 2026.</t>
  </si>
  <si>
    <t>Evaluation</t>
  </si>
  <si>
    <t>Each model against the actual 2026 Weekend 3 attendance, by day.</t>
  </si>
  <si>
    <t>Charts</t>
  </si>
  <si>
    <t>Weekend 2 by year, and Weekend 3 actuals vs the 2026 forecast.</t>
  </si>
  <si>
    <t>Blue values are inputs (data). Black values are formulas.</t>
  </si>
  <si>
    <t>Data limitation: 2024 Weekend 1 Friday is missing, and 2023 has Weekends 1–2 only. Comparisons use matching Friday/Saturday observations only.</t>
  </si>
  <si>
    <t>Year</t>
  </si>
  <si>
    <t>Weekend</t>
  </si>
  <si>
    <t>Day</t>
  </si>
  <si>
    <t>Attendance index</t>
  </si>
  <si>
    <t>Friday</t>
  </si>
  <si>
    <t>Saturday</t>
  </si>
  <si>
    <t>2026 Weekend 3 forecast</t>
  </si>
  <si>
    <t>Data available through 2026 Weekend 2. Forecast frozen 1 Sept 2026, before the event.</t>
  </si>
  <si>
    <t>Model 1: Weekend 3 ÷ Weekend 2 ratio (2024–2025 average), applied to 2026 Weekend 2</t>
  </si>
  <si>
    <t>2024 ratio</t>
  </si>
  <si>
    <t>2025 ratio</t>
  </si>
  <si>
    <t>Average ratio</t>
  </si>
  <si>
    <t>2026 W2</t>
  </si>
  <si>
    <t>2026 W3 forecast</t>
  </si>
  <si>
    <t>Total</t>
  </si>
  <si>
    <t>Model 2: year-to-date scaling (2026 vs 2025 through Weekend 2), applied to 2025 Weekend 3</t>
  </si>
  <si>
    <t>2025 through W2</t>
  </si>
  <si>
    <t>2026 through W2</t>
  </si>
  <si>
    <t>YTD multiplier</t>
  </si>
  <si>
    <t>2025 W3</t>
  </si>
  <si>
    <t>Model 3 (selected): historical share pattern. Weekend 2 is ~50% of the W2+W3 total; W3 Friday and Saturday take their average shares</t>
  </si>
  <si>
    <t>Share of W2+W3 total</t>
  </si>
  <si>
    <t>2024</t>
  </si>
  <si>
    <t>2025</t>
  </si>
  <si>
    <t>Average</t>
  </si>
  <si>
    <t>Weekend 2</t>
  </si>
  <si>
    <t>W3 Friday</t>
  </si>
  <si>
    <t>W3 Saturday</t>
  </si>
  <si>
    <t>2026 Weekend 2 actual</t>
  </si>
  <si>
    <t>Implied W2+W3 total</t>
  </si>
  <si>
    <t>Share used</t>
  </si>
  <si>
    <t>Why Model 3: it uses both days of the latest weekend (2026 W2) and the full W2-to-W3 pattern, rather than one day or last year alone.</t>
  </si>
  <si>
    <t>Forecast vs actual: 2026 Weekend 3</t>
  </si>
  <si>
    <t>Positive error = over-forecast.</t>
  </si>
  <si>
    <t>Model</t>
  </si>
  <si>
    <t>Friday forecast</t>
  </si>
  <si>
    <t>Saturday forecast</t>
  </si>
  <si>
    <t>Total forecast</t>
  </si>
  <si>
    <t>Actual total</t>
  </si>
  <si>
    <t>Error</t>
  </si>
  <si>
    <t>Error %</t>
  </si>
  <si>
    <t>Friday error</t>
  </si>
  <si>
    <t>Saturday error</t>
  </si>
  <si>
    <t>Friday share of error</t>
  </si>
  <si>
    <t>Actual</t>
  </si>
  <si>
    <t>Model 1: W3÷W2 ratio</t>
  </si>
  <si>
    <t>Model 2: YTD scaling</t>
  </si>
  <si>
    <t>Model 3: share pattern (selected)</t>
  </si>
  <si>
    <t>Finding: the selected model over-forecast Weekend 3 by 15.9%, and about 90% of that error came from Friday.</t>
  </si>
  <si>
    <t>Why: 2026 Fridays ran far below earlier years, while the model used 2024–2025 Friday shares (2024 was a strong Friday year).</t>
  </si>
  <si>
    <t>Friday share of W2+W3 total</t>
  </si>
  <si>
    <t>W3 Friday share</t>
  </si>
  <si>
    <t>2026 (actual)</t>
  </si>
  <si>
    <t>Next time: weight recent years more, and model Friday and Saturday trends separately.</t>
  </si>
  <si>
    <t>2023</t>
  </si>
  <si>
    <t>2026</t>
  </si>
  <si>
    <t>Weekend 3</t>
  </si>
  <si>
    <t>2024 actual</t>
  </si>
  <si>
    <t>2025 actual</t>
  </si>
  <si>
    <t>2026 forecast</t>
  </si>
  <si>
    <t>2026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</si>
</sst>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color rgb="FF555555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2313A"/>
      </patternFill>
    </fill>
    <fill>
      <patternFill patternType="solid">
        <fgColor rgb="FFE2F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164" fontId="6" fillId="0" borderId="0" xfId="0" applyNumberFormat="1" applyFont="1"/>
    <xf numFmtId="165" fontId="7" fillId="0" borderId="0" xfId="0" applyNumberFormat="1" applyFont="1"/>
    <xf numFmtId="164" fontId="7" fillId="0" borderId="0" xfId="0" applyNumberFormat="1" applyFont="1"/>
    <xf numFmtId="0" fontId="7" fillId="0" borderId="0" xfId="0" applyFont="1"/>
    <xf numFmtId="166" fontId="7" fillId="0" borderId="0" xfId="0" applyNumberFormat="1" applyFont="1"/>
    <xf numFmtId="0" fontId="7" fillId="3" borderId="0" xfId="0" applyFont="1" applyFill="1"/>
    <xf numFmtId="166" fontId="7" fillId="3" borderId="0" xfId="0" applyNumberFormat="1" applyFont="1" applyFill="1"/>
    <xf numFmtId="164" fontId="7" fillId="3" borderId="0" xfId="0" applyNumberFormat="1" applyFont="1" applyFill="1"/>
    <xf numFmtId="0" fontId="3" fillId="3" borderId="0" xfId="0" applyFont="1" applyFill="1"/>
    <xf numFmtId="0" fontId="0" fillId="3" borderId="0" xfId="0" applyFill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Weekend 2 attendance index by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Friday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Charts!$A$2:$A$5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Charts!$B$2:$B$5</c:f>
              <c:numCache>
                <c:formatCode>0.0</c:formatCode>
                <c:ptCount val="4"/>
                <c:pt idx="0">
                  <c:v>55.1</c:v>
                </c:pt>
                <c:pt idx="1">
                  <c:v>52.4</c:v>
                </c:pt>
                <c:pt idx="2">
                  <c:v>30.4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8-403F-970F-A0207C2A05E7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Saturday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Charts!$A$2:$A$5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Charts!$C$2:$C$5</c:f>
              <c:numCache>
                <c:formatCode>0.0</c:formatCode>
                <c:ptCount val="4"/>
                <c:pt idx="0">
                  <c:v>41.6</c:v>
                </c:pt>
                <c:pt idx="1">
                  <c:v>50.9</c:v>
                </c:pt>
                <c:pt idx="2">
                  <c:v>55.1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8-403F-970F-A0207C2A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Weekend 3: actuals vs the 2026 forecast (index)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Charts!$B$20</c:f>
              <c:strCache>
                <c:ptCount val="1"/>
                <c:pt idx="0">
                  <c:v>Friday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Charts!$A$21:$A$24</c:f>
              <c:strCache>
                <c:ptCount val="4"/>
                <c:pt idx="0">
                  <c:v>2024 actual</c:v>
                </c:pt>
                <c:pt idx="1">
                  <c:v>2025 actual</c:v>
                </c:pt>
                <c:pt idx="2">
                  <c:v>2026 forecast</c:v>
                </c:pt>
                <c:pt idx="3">
                  <c:v>2026 actual</c:v>
                </c:pt>
              </c:strCache>
            </c:strRef>
          </c:cat>
          <c:val>
            <c:numRef>
              <c:f>Charts!$B$21:$B$24</c:f>
              <c:numCache>
                <c:formatCode>0.0</c:formatCode>
                <c:ptCount val="4"/>
                <c:pt idx="0">
                  <c:v>45.2</c:v>
                </c:pt>
                <c:pt idx="1">
                  <c:v>35.4</c:v>
                </c:pt>
                <c:pt idx="2">
                  <c:v>28.112968776742079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6F8-B08E-4315669AA7B3}"/>
            </c:ext>
          </c:extLst>
        </c:ser>
        <c:ser>
          <c:idx val="1"/>
          <c:order val="1"/>
          <c:tx>
            <c:strRef>
              <c:f>Charts!$C$20</c:f>
              <c:strCache>
                <c:ptCount val="1"/>
                <c:pt idx="0">
                  <c:v>Saturday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Charts!$A$21:$A$24</c:f>
              <c:strCache>
                <c:ptCount val="4"/>
                <c:pt idx="0">
                  <c:v>2024 actual</c:v>
                </c:pt>
                <c:pt idx="1">
                  <c:v>2025 actual</c:v>
                </c:pt>
                <c:pt idx="2">
                  <c:v>2026 forecast</c:v>
                </c:pt>
                <c:pt idx="3">
                  <c:v>2026 actual</c:v>
                </c:pt>
              </c:strCache>
            </c:strRef>
          </c:cat>
          <c:val>
            <c:numRef>
              <c:f>Charts!$C$21:$C$24</c:f>
              <c:numCache>
                <c:formatCode>0.0</c:formatCode>
                <c:ptCount val="4"/>
                <c:pt idx="0">
                  <c:v>54.8</c:v>
                </c:pt>
                <c:pt idx="1">
                  <c:v>51.9</c:v>
                </c:pt>
                <c:pt idx="2">
                  <c:v>37.504320882006574</c:v>
                </c:pt>
                <c:pt idx="3">
                  <c:v>36.6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2-46F8-B08E-4315669AA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6" x14ac:dyDescent="0.4"/>
  <cols>
    <col min="1" max="1" width="16" customWidth="1"/>
    <col min="2" max="2" width="95" customWidth="1"/>
  </cols>
  <sheetData>
    <row r="1" spans="1:2" ht="17.600000000000001" x14ac:dyDescent="0.4">
      <c r="A1" s="1" t="s">
        <v>0</v>
      </c>
    </row>
    <row r="2" spans="1:2" x14ac:dyDescent="0.4">
      <c r="A2" s="2" t="s">
        <v>1</v>
      </c>
    </row>
    <row r="3" spans="1:2" x14ac:dyDescent="0.4">
      <c r="A3" s="2" t="s">
        <v>2</v>
      </c>
    </row>
    <row r="5" spans="1:2" x14ac:dyDescent="0.4">
      <c r="A5" s="3" t="s">
        <v>3</v>
      </c>
    </row>
    <row r="6" spans="1:2" x14ac:dyDescent="0.4">
      <c r="A6" s="3" t="s">
        <v>4</v>
      </c>
      <c r="B6" s="4" t="s">
        <v>5</v>
      </c>
    </row>
    <row r="7" spans="1:2" x14ac:dyDescent="0.4">
      <c r="A7" s="3" t="s">
        <v>6</v>
      </c>
      <c r="B7" s="4" t="s">
        <v>7</v>
      </c>
    </row>
    <row r="8" spans="1:2" x14ac:dyDescent="0.4">
      <c r="A8" s="3" t="s">
        <v>8</v>
      </c>
      <c r="B8" s="4" t="s">
        <v>9</v>
      </c>
    </row>
    <row r="9" spans="1:2" x14ac:dyDescent="0.4">
      <c r="A9" s="3" t="s">
        <v>10</v>
      </c>
      <c r="B9" s="4" t="s">
        <v>11</v>
      </c>
    </row>
    <row r="11" spans="1:2" x14ac:dyDescent="0.4">
      <c r="A11" s="2" t="s">
        <v>12</v>
      </c>
    </row>
    <row r="12" spans="1:2" x14ac:dyDescent="0.4">
      <c r="A12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8" customWidth="1"/>
    <col min="2" max="2" width="10" customWidth="1"/>
    <col min="3" max="3" width="12" customWidth="1"/>
    <col min="4" max="4" width="18" customWidth="1"/>
  </cols>
  <sheetData>
    <row r="1" spans="1:4" x14ac:dyDescent="0.4">
      <c r="A1" s="5" t="s">
        <v>14</v>
      </c>
      <c r="B1" s="5" t="s">
        <v>15</v>
      </c>
      <c r="C1" s="5" t="s">
        <v>16</v>
      </c>
      <c r="D1" s="5" t="s">
        <v>17</v>
      </c>
    </row>
    <row r="2" spans="1:4" x14ac:dyDescent="0.4">
      <c r="A2" s="6">
        <v>2023</v>
      </c>
      <c r="B2" s="6">
        <v>1</v>
      </c>
      <c r="C2" s="6" t="s">
        <v>18</v>
      </c>
      <c r="D2" s="7">
        <v>23.8</v>
      </c>
    </row>
    <row r="3" spans="1:4" x14ac:dyDescent="0.4">
      <c r="A3" s="6">
        <v>2023</v>
      </c>
      <c r="B3" s="6">
        <v>1</v>
      </c>
      <c r="C3" s="6" t="s">
        <v>19</v>
      </c>
      <c r="D3" s="7">
        <v>39.200000000000003</v>
      </c>
    </row>
    <row r="4" spans="1:4" x14ac:dyDescent="0.4">
      <c r="A4" s="6">
        <v>2023</v>
      </c>
      <c r="B4" s="6">
        <v>2</v>
      </c>
      <c r="C4" s="6" t="s">
        <v>18</v>
      </c>
      <c r="D4" s="7">
        <v>55.1</v>
      </c>
    </row>
    <row r="5" spans="1:4" x14ac:dyDescent="0.4">
      <c r="A5" s="6">
        <v>2023</v>
      </c>
      <c r="B5" s="6">
        <v>2</v>
      </c>
      <c r="C5" s="6" t="s">
        <v>19</v>
      </c>
      <c r="D5" s="7">
        <v>41.6</v>
      </c>
    </row>
    <row r="6" spans="1:4" x14ac:dyDescent="0.4">
      <c r="A6" s="6">
        <v>2024</v>
      </c>
      <c r="B6" s="6">
        <v>1</v>
      </c>
      <c r="C6" s="6" t="s">
        <v>18</v>
      </c>
      <c r="D6" s="7"/>
    </row>
    <row r="7" spans="1:4" x14ac:dyDescent="0.4">
      <c r="A7" s="6">
        <v>2024</v>
      </c>
      <c r="B7" s="6">
        <v>1</v>
      </c>
      <c r="C7" s="6" t="s">
        <v>19</v>
      </c>
      <c r="D7" s="7">
        <v>62.3</v>
      </c>
    </row>
    <row r="8" spans="1:4" x14ac:dyDescent="0.4">
      <c r="A8" s="6">
        <v>2024</v>
      </c>
      <c r="B8" s="6">
        <v>2</v>
      </c>
      <c r="C8" s="6" t="s">
        <v>18</v>
      </c>
      <c r="D8" s="7">
        <v>52.4</v>
      </c>
    </row>
    <row r="9" spans="1:4" x14ac:dyDescent="0.4">
      <c r="A9" s="6">
        <v>2024</v>
      </c>
      <c r="B9" s="6">
        <v>2</v>
      </c>
      <c r="C9" s="6" t="s">
        <v>19</v>
      </c>
      <c r="D9" s="7">
        <v>50.9</v>
      </c>
    </row>
    <row r="10" spans="1:4" x14ac:dyDescent="0.4">
      <c r="A10" s="6">
        <v>2024</v>
      </c>
      <c r="B10" s="6">
        <v>3</v>
      </c>
      <c r="C10" s="6" t="s">
        <v>18</v>
      </c>
      <c r="D10" s="7">
        <v>45.2</v>
      </c>
    </row>
    <row r="11" spans="1:4" x14ac:dyDescent="0.4">
      <c r="A11" s="6">
        <v>2024</v>
      </c>
      <c r="B11" s="6">
        <v>3</v>
      </c>
      <c r="C11" s="6" t="s">
        <v>19</v>
      </c>
      <c r="D11" s="7">
        <v>54.8</v>
      </c>
    </row>
    <row r="12" spans="1:4" x14ac:dyDescent="0.4">
      <c r="A12" s="6">
        <v>2025</v>
      </c>
      <c r="B12" s="6">
        <v>1</v>
      </c>
      <c r="C12" s="6" t="s">
        <v>18</v>
      </c>
      <c r="D12" s="7">
        <v>18.2</v>
      </c>
    </row>
    <row r="13" spans="1:4" x14ac:dyDescent="0.4">
      <c r="A13" s="6">
        <v>2025</v>
      </c>
      <c r="B13" s="6">
        <v>1</v>
      </c>
      <c r="C13" s="6" t="s">
        <v>19</v>
      </c>
      <c r="D13" s="7">
        <v>41.2</v>
      </c>
    </row>
    <row r="14" spans="1:4" x14ac:dyDescent="0.4">
      <c r="A14" s="6">
        <v>2025</v>
      </c>
      <c r="B14" s="6">
        <v>2</v>
      </c>
      <c r="C14" s="6" t="s">
        <v>18</v>
      </c>
      <c r="D14" s="7">
        <v>30.4</v>
      </c>
    </row>
    <row r="15" spans="1:4" x14ac:dyDescent="0.4">
      <c r="A15" s="6">
        <v>2025</v>
      </c>
      <c r="B15" s="6">
        <v>2</v>
      </c>
      <c r="C15" s="6" t="s">
        <v>19</v>
      </c>
      <c r="D15" s="7">
        <v>55.1</v>
      </c>
    </row>
    <row r="16" spans="1:4" x14ac:dyDescent="0.4">
      <c r="A16" s="6">
        <v>2025</v>
      </c>
      <c r="B16" s="6">
        <v>3</v>
      </c>
      <c r="C16" s="6" t="s">
        <v>18</v>
      </c>
      <c r="D16" s="7">
        <v>35.4</v>
      </c>
    </row>
    <row r="17" spans="1:4" x14ac:dyDescent="0.4">
      <c r="A17" s="6">
        <v>2025</v>
      </c>
      <c r="B17" s="6">
        <v>3</v>
      </c>
      <c r="C17" s="6" t="s">
        <v>19</v>
      </c>
      <c r="D17" s="7">
        <v>51.9</v>
      </c>
    </row>
    <row r="18" spans="1:4" x14ac:dyDescent="0.4">
      <c r="A18" s="6">
        <v>2026</v>
      </c>
      <c r="B18" s="6">
        <v>1</v>
      </c>
      <c r="C18" s="6" t="s">
        <v>18</v>
      </c>
      <c r="D18" s="7">
        <v>21</v>
      </c>
    </row>
    <row r="19" spans="1:4" x14ac:dyDescent="0.4">
      <c r="A19" s="6">
        <v>2026</v>
      </c>
      <c r="B19" s="6">
        <v>1</v>
      </c>
      <c r="C19" s="6" t="s">
        <v>19</v>
      </c>
      <c r="D19" s="7">
        <v>38</v>
      </c>
    </row>
    <row r="20" spans="1:4" x14ac:dyDescent="0.4">
      <c r="A20" s="6">
        <v>2026</v>
      </c>
      <c r="B20" s="6">
        <v>2</v>
      </c>
      <c r="C20" s="6" t="s">
        <v>18</v>
      </c>
      <c r="D20" s="7">
        <v>21</v>
      </c>
    </row>
    <row r="21" spans="1:4" x14ac:dyDescent="0.4">
      <c r="A21" s="6">
        <v>2026</v>
      </c>
      <c r="B21" s="6">
        <v>2</v>
      </c>
      <c r="C21" s="6" t="s">
        <v>19</v>
      </c>
      <c r="D21" s="7">
        <v>45</v>
      </c>
    </row>
    <row r="22" spans="1:4" x14ac:dyDescent="0.4">
      <c r="A22" s="6">
        <v>2026</v>
      </c>
      <c r="B22" s="6">
        <v>3</v>
      </c>
      <c r="C22" s="6" t="s">
        <v>18</v>
      </c>
      <c r="D22" s="7">
        <v>20</v>
      </c>
    </row>
    <row r="23" spans="1:4" x14ac:dyDescent="0.4">
      <c r="A23" s="6">
        <v>2026</v>
      </c>
      <c r="B23" s="6">
        <v>3</v>
      </c>
      <c r="C23" s="6" t="s">
        <v>19</v>
      </c>
      <c r="D23" s="7">
        <v>36.6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/>
  </sheetViews>
  <sheetFormatPr defaultRowHeight="14.6" x14ac:dyDescent="0.4"/>
  <cols>
    <col min="1" max="1" width="24" customWidth="1"/>
    <col min="2" max="6" width="16" customWidth="1"/>
  </cols>
  <sheetData>
    <row r="1" spans="1:6" ht="17.600000000000001" x14ac:dyDescent="0.4">
      <c r="A1" s="1" t="s">
        <v>20</v>
      </c>
    </row>
    <row r="2" spans="1:6" x14ac:dyDescent="0.4">
      <c r="A2" s="2" t="s">
        <v>21</v>
      </c>
    </row>
    <row r="4" spans="1:6" x14ac:dyDescent="0.4">
      <c r="A4" s="3" t="s">
        <v>22</v>
      </c>
    </row>
    <row r="5" spans="1:6" ht="28.3" x14ac:dyDescent="0.4">
      <c r="A5" s="5" t="s">
        <v>16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</row>
    <row r="6" spans="1:6" x14ac:dyDescent="0.4">
      <c r="A6" s="4" t="s">
        <v>18</v>
      </c>
      <c r="B6" s="8">
        <f>SUMIFS(Data!$D$2:$D$23,Data!$A$2:$A$23,2024,Data!$B$2:$B$23,3,Data!$C$2:$C$23,"Friday")/SUMIFS(Data!$D$2:$D$23,Data!$A$2:$A$23,2024,Data!$B$2:$B$23,2,Data!$C$2:$C$23,"Friday")</f>
        <v>0.86259541984732835</v>
      </c>
      <c r="C6" s="8">
        <f>SUMIFS(Data!$D$2:$D$23,Data!$A$2:$A$23,2025,Data!$B$2:$B$23,3,Data!$C$2:$C$23,"Friday")/SUMIFS(Data!$D$2:$D$23,Data!$A$2:$A$23,2025,Data!$B$2:$B$23,2,Data!$C$2:$C$23,"Friday")</f>
        <v>1.1644736842105263</v>
      </c>
      <c r="D6" s="8">
        <f>AVERAGE(B6:C6)</f>
        <v>1.0135345520289274</v>
      </c>
      <c r="E6" s="9">
        <f>SUMIFS(Data!$D$2:$D$23,Data!$A$2:$A$23,2026,Data!$B$2:$B$23,2,Data!$C$2:$C$23,"Friday")</f>
        <v>21</v>
      </c>
      <c r="F6" s="9">
        <f>E6*D6</f>
        <v>21.284225592607477</v>
      </c>
    </row>
    <row r="7" spans="1:6" x14ac:dyDescent="0.4">
      <c r="A7" s="4" t="s">
        <v>19</v>
      </c>
      <c r="B7" s="8">
        <f>SUMIFS(Data!$D$2:$D$23,Data!$A$2:$A$23,2024,Data!$B$2:$B$23,3,Data!$C$2:$C$23,"Saturday")/SUMIFS(Data!$D$2:$D$23,Data!$A$2:$A$23,2024,Data!$B$2:$B$23,2,Data!$C$2:$C$23,"Saturday")</f>
        <v>1.0766208251473477</v>
      </c>
      <c r="C7" s="8">
        <f>SUMIFS(Data!$D$2:$D$23,Data!$A$2:$A$23,2025,Data!$B$2:$B$23,3,Data!$C$2:$C$23,"Saturday")/SUMIFS(Data!$D$2:$D$23,Data!$A$2:$A$23,2025,Data!$B$2:$B$23,2,Data!$C$2:$C$23,"Saturday")</f>
        <v>0.94192377495462787</v>
      </c>
      <c r="D7" s="8">
        <f>AVERAGE(B7:C7)</f>
        <v>1.0092723000509878</v>
      </c>
      <c r="E7" s="9">
        <f>SUMIFS(Data!$D$2:$D$23,Data!$A$2:$A$23,2026,Data!$B$2:$B$23,2,Data!$C$2:$C$23,"Saturday")</f>
        <v>45</v>
      </c>
      <c r="F7" s="9">
        <f>E7*D7</f>
        <v>45.41725350229445</v>
      </c>
    </row>
    <row r="8" spans="1:6" x14ac:dyDescent="0.4">
      <c r="A8" s="3" t="s">
        <v>28</v>
      </c>
      <c r="F8" s="9">
        <f>SUM(F6:F7)</f>
        <v>66.701479094901927</v>
      </c>
    </row>
    <row r="10" spans="1:6" x14ac:dyDescent="0.4">
      <c r="A10" s="3" t="s">
        <v>29</v>
      </c>
    </row>
    <row r="11" spans="1:6" x14ac:dyDescent="0.4">
      <c r="A11" s="10" t="s">
        <v>30</v>
      </c>
      <c r="B11" s="9">
        <f>SUMIFS(Data!$D$2:$D$23,Data!$A$2:$A$23,2025,Data!$B$2:$B$23,1,Data!$C$2:$C$23,"Friday")+SUMIFS(Data!$D$2:$D$23,Data!$A$2:$A$23,2025,Data!$B$2:$B$23,1,Data!$C$2:$C$23,"Saturday")+SUMIFS(Data!$D$2:$D$23,Data!$A$2:$A$23,2025,Data!$B$2:$B$23,2,Data!$C$2:$C$23,"Friday")+SUMIFS(Data!$D$2:$D$23,Data!$A$2:$A$23,2025,Data!$B$2:$B$23,2,Data!$C$2:$C$23,"Saturday")</f>
        <v>144.9</v>
      </c>
    </row>
    <row r="12" spans="1:6" x14ac:dyDescent="0.4">
      <c r="A12" s="10" t="s">
        <v>31</v>
      </c>
      <c r="B12" s="9">
        <f>SUMIFS(Data!$D$2:$D$23,Data!$A$2:$A$23,2026,Data!$B$2:$B$23,1,Data!$C$2:$C$23,"Friday")+SUMIFS(Data!$D$2:$D$23,Data!$A$2:$A$23,2026,Data!$B$2:$B$23,1,Data!$C$2:$C$23,"Saturday")+SUMIFS(Data!$D$2:$D$23,Data!$A$2:$A$23,2026,Data!$B$2:$B$23,2,Data!$C$2:$C$23,"Friday")+SUMIFS(Data!$D$2:$D$23,Data!$A$2:$A$23,2026,Data!$B$2:$B$23,2,Data!$C$2:$C$23,"Saturday")</f>
        <v>125</v>
      </c>
    </row>
    <row r="13" spans="1:6" x14ac:dyDescent="0.4">
      <c r="A13" s="10" t="s">
        <v>32</v>
      </c>
      <c r="B13" s="8">
        <f>B12/B11</f>
        <v>0.86266390614216693</v>
      </c>
    </row>
    <row r="14" spans="1:6" ht="28.3" x14ac:dyDescent="0.4">
      <c r="A14" s="5" t="s">
        <v>16</v>
      </c>
      <c r="B14" s="5" t="s">
        <v>33</v>
      </c>
      <c r="C14" s="5" t="s">
        <v>32</v>
      </c>
      <c r="D14" s="5" t="s">
        <v>27</v>
      </c>
    </row>
    <row r="15" spans="1:6" x14ac:dyDescent="0.4">
      <c r="A15" s="4" t="s">
        <v>18</v>
      </c>
      <c r="B15" s="9">
        <f>SUMIFS(Data!$D$2:$D$23,Data!$A$2:$A$23,2025,Data!$B$2:$B$23,3,Data!$C$2:$C$23,"Friday")</f>
        <v>35.4</v>
      </c>
      <c r="C15" s="8">
        <f>$B$13</f>
        <v>0.86266390614216693</v>
      </c>
      <c r="D15" s="9">
        <f>B15*C15</f>
        <v>30.53830227743271</v>
      </c>
    </row>
    <row r="16" spans="1:6" x14ac:dyDescent="0.4">
      <c r="A16" s="4" t="s">
        <v>19</v>
      </c>
      <c r="B16" s="9">
        <f>SUMIFS(Data!$D$2:$D$23,Data!$A$2:$A$23,2025,Data!$B$2:$B$23,3,Data!$C$2:$C$23,"Saturday")</f>
        <v>51.9</v>
      </c>
      <c r="C16" s="8">
        <f>$B$13</f>
        <v>0.86266390614216693</v>
      </c>
      <c r="D16" s="9">
        <f>B16*C16</f>
        <v>44.772256728778466</v>
      </c>
    </row>
    <row r="17" spans="1:4" x14ac:dyDescent="0.4">
      <c r="A17" s="3" t="s">
        <v>28</v>
      </c>
      <c r="D17" s="9">
        <f>SUM(D15:D16)</f>
        <v>75.310559006211179</v>
      </c>
    </row>
    <row r="19" spans="1:4" x14ac:dyDescent="0.4">
      <c r="A19" s="3" t="s">
        <v>34</v>
      </c>
    </row>
    <row r="20" spans="1:4" x14ac:dyDescent="0.4">
      <c r="A20" s="5" t="s">
        <v>35</v>
      </c>
      <c r="B20" s="5" t="s">
        <v>36</v>
      </c>
      <c r="C20" s="5" t="s">
        <v>37</v>
      </c>
      <c r="D20" s="5" t="s">
        <v>38</v>
      </c>
    </row>
    <row r="21" spans="1:4" x14ac:dyDescent="0.4">
      <c r="A21" s="10" t="s">
        <v>39</v>
      </c>
      <c r="B21" s="11">
        <f>(SUMIFS(Data!$D$2:$D$23,Data!$A$2:$A$23,2024,Data!$B$2:$B$23,2,Data!$C$2:$C$23,"Friday")+SUMIFS(Data!$D$2:$D$23,Data!$A$2:$A$23,2024,Data!$B$2:$B$23,2,Data!$C$2:$C$23,"Saturday"))/(SUMIFS(Data!$D$2:$D$23,Data!$A$2:$A$23,2024,Data!$B$2:$B$23,2,Data!$C$2:$C$23,"Friday")+SUMIFS(Data!$D$2:$D$23,Data!$A$2:$A$23,2024,Data!$B$2:$B$23,2,Data!$C$2:$C$23,"Saturday")+SUMIFS(Data!$D$2:$D$23,Data!$A$2:$A$23,2024,Data!$B$2:$B$23,3,Data!$C$2:$C$23,"Friday")+SUMIFS(Data!$D$2:$D$23,Data!$A$2:$A$23,2024,Data!$B$2:$B$23,3,Data!$C$2:$C$23,"Saturday"))</f>
        <v>0.50811608460403346</v>
      </c>
      <c r="C21" s="11">
        <f>(SUMIFS(Data!$D$2:$D$23,Data!$A$2:$A$23,2025,Data!$B$2:$B$23,2,Data!$C$2:$C$23,"Friday")+SUMIFS(Data!$D$2:$D$23,Data!$A$2:$A$23,2025,Data!$B$2:$B$23,2,Data!$C$2:$C$23,"Saturday"))/(SUMIFS(Data!$D$2:$D$23,Data!$A$2:$A$23,2025,Data!$B$2:$B$23,2,Data!$C$2:$C$23,"Friday")+SUMIFS(Data!$D$2:$D$23,Data!$A$2:$A$23,2025,Data!$B$2:$B$23,2,Data!$C$2:$C$23,"Saturday")+SUMIFS(Data!$D$2:$D$23,Data!$A$2:$A$23,2025,Data!$B$2:$B$23,3,Data!$C$2:$C$23,"Friday")+SUMIFS(Data!$D$2:$D$23,Data!$A$2:$A$23,2025,Data!$B$2:$B$23,3,Data!$C$2:$C$23,"Saturday"))</f>
        <v>0.49479166666666663</v>
      </c>
      <c r="D21" s="11">
        <f>AVERAGE(B21:C21)</f>
        <v>0.50145387563535004</v>
      </c>
    </row>
    <row r="22" spans="1:4" x14ac:dyDescent="0.4">
      <c r="A22" s="10" t="s">
        <v>40</v>
      </c>
      <c r="B22" s="11">
        <f>SUMIFS(Data!$D$2:$D$23,Data!$A$2:$A$23,2024,Data!$B$2:$B$23,3,Data!$C$2:$C$23,"Friday")/(SUMIFS(Data!$D$2:$D$23,Data!$A$2:$A$23,2024,Data!$B$2:$B$23,2,Data!$C$2:$C$23,"Friday")+SUMIFS(Data!$D$2:$D$23,Data!$A$2:$A$23,2024,Data!$B$2:$B$23,2,Data!$C$2:$C$23,"Saturday")+SUMIFS(Data!$D$2:$D$23,Data!$A$2:$A$23,2024,Data!$B$2:$B$23,3,Data!$C$2:$C$23,"Friday")+SUMIFS(Data!$D$2:$D$23,Data!$A$2:$A$23,2024,Data!$B$2:$B$23,3,Data!$C$2:$C$23,"Saturday"))</f>
        <v>0.22233152975897688</v>
      </c>
      <c r="C22" s="11">
        <f>SUMIFS(Data!$D$2:$D$23,Data!$A$2:$A$23,2025,Data!$B$2:$B$23,3,Data!$C$2:$C$23,"Friday")/(SUMIFS(Data!$D$2:$D$23,Data!$A$2:$A$23,2025,Data!$B$2:$B$23,2,Data!$C$2:$C$23,"Friday")+SUMIFS(Data!$D$2:$D$23,Data!$A$2:$A$23,2025,Data!$B$2:$B$23,2,Data!$C$2:$C$23,"Saturday")+SUMIFS(Data!$D$2:$D$23,Data!$A$2:$A$23,2025,Data!$B$2:$B$23,3,Data!$C$2:$C$23,"Friday")+SUMIFS(Data!$D$2:$D$23,Data!$A$2:$A$23,2025,Data!$B$2:$B$23,3,Data!$C$2:$C$23,"Saturday"))</f>
        <v>0.20486111111111108</v>
      </c>
      <c r="D22" s="11">
        <f>AVERAGE(B22:C22)</f>
        <v>0.21359632043504398</v>
      </c>
    </row>
    <row r="23" spans="1:4" x14ac:dyDescent="0.4">
      <c r="A23" s="10" t="s">
        <v>41</v>
      </c>
      <c r="B23" s="11">
        <f>SUMIFS(Data!$D$2:$D$23,Data!$A$2:$A$23,2024,Data!$B$2:$B$23,3,Data!$C$2:$C$23,"Saturday")/(SUMIFS(Data!$D$2:$D$23,Data!$A$2:$A$23,2024,Data!$B$2:$B$23,2,Data!$C$2:$C$23,"Friday")+SUMIFS(Data!$D$2:$D$23,Data!$A$2:$A$23,2024,Data!$B$2:$B$23,2,Data!$C$2:$C$23,"Saturday")+SUMIFS(Data!$D$2:$D$23,Data!$A$2:$A$23,2024,Data!$B$2:$B$23,3,Data!$C$2:$C$23,"Friday")+SUMIFS(Data!$D$2:$D$23,Data!$A$2:$A$23,2024,Data!$B$2:$B$23,3,Data!$C$2:$C$23,"Saturday"))</f>
        <v>0.26955238563698963</v>
      </c>
      <c r="C23" s="11">
        <f>SUMIFS(Data!$D$2:$D$23,Data!$A$2:$A$23,2025,Data!$B$2:$B$23,3,Data!$C$2:$C$23,"Saturday")/(SUMIFS(Data!$D$2:$D$23,Data!$A$2:$A$23,2025,Data!$B$2:$B$23,2,Data!$C$2:$C$23,"Friday")+SUMIFS(Data!$D$2:$D$23,Data!$A$2:$A$23,2025,Data!$B$2:$B$23,2,Data!$C$2:$C$23,"Saturday")+SUMIFS(Data!$D$2:$D$23,Data!$A$2:$A$23,2025,Data!$B$2:$B$23,3,Data!$C$2:$C$23,"Friday")+SUMIFS(Data!$D$2:$D$23,Data!$A$2:$A$23,2025,Data!$B$2:$B$23,3,Data!$C$2:$C$23,"Saturday"))</f>
        <v>0.30034722222222221</v>
      </c>
      <c r="D23" s="11">
        <f>AVERAGE(B23:C23)</f>
        <v>0.28494980392960589</v>
      </c>
    </row>
    <row r="24" spans="1:4" x14ac:dyDescent="0.4">
      <c r="A24" s="10" t="s">
        <v>28</v>
      </c>
      <c r="B24" s="11">
        <f>SUM(B21:B23)</f>
        <v>1</v>
      </c>
      <c r="C24" s="11">
        <f>SUM(C21:C23)</f>
        <v>0.99999999999999989</v>
      </c>
      <c r="D24" s="11">
        <f>SUM(D21:D23)</f>
        <v>0.99999999999999989</v>
      </c>
    </row>
    <row r="26" spans="1:4" x14ac:dyDescent="0.4">
      <c r="A26" s="10" t="s">
        <v>42</v>
      </c>
      <c r="B26" s="9">
        <f>SUMIFS(Data!$D$2:$D$23,Data!$A$2:$A$23,2026,Data!$B$2:$B$23,2,Data!$C$2:$C$23,"Friday")+SUMIFS(Data!$D$2:$D$23,Data!$A$2:$A$23,2026,Data!$B$2:$B$23,2,Data!$C$2:$C$23,"Saturday")</f>
        <v>66</v>
      </c>
    </row>
    <row r="27" spans="1:4" x14ac:dyDescent="0.4">
      <c r="A27" s="10" t="s">
        <v>43</v>
      </c>
      <c r="B27" s="9">
        <f>B26/D21</f>
        <v>131.61728965874866</v>
      </c>
    </row>
    <row r="28" spans="1:4" ht="28.3" x14ac:dyDescent="0.4">
      <c r="A28" s="5" t="s">
        <v>16</v>
      </c>
      <c r="B28" s="5" t="s">
        <v>44</v>
      </c>
      <c r="C28" s="5" t="s">
        <v>27</v>
      </c>
    </row>
    <row r="29" spans="1:4" x14ac:dyDescent="0.4">
      <c r="A29" s="12" t="s">
        <v>18</v>
      </c>
      <c r="B29" s="13">
        <f>D22</f>
        <v>0.21359632043504398</v>
      </c>
      <c r="C29" s="14">
        <f>$B$27*B29</f>
        <v>28.112968776742079</v>
      </c>
    </row>
    <row r="30" spans="1:4" x14ac:dyDescent="0.4">
      <c r="A30" s="12" t="s">
        <v>19</v>
      </c>
      <c r="B30" s="13">
        <f>D23</f>
        <v>0.28494980392960589</v>
      </c>
      <c r="C30" s="14">
        <f>$B$27*B30</f>
        <v>37.504320882006574</v>
      </c>
    </row>
    <row r="31" spans="1:4" x14ac:dyDescent="0.4">
      <c r="A31" s="15" t="s">
        <v>28</v>
      </c>
      <c r="B31" s="16"/>
      <c r="C31" s="14">
        <f>SUM(C29:C30)</f>
        <v>65.61728965874866</v>
      </c>
    </row>
    <row r="33" spans="1:1" x14ac:dyDescent="0.4">
      <c r="A33" s="2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/>
  </sheetViews>
  <sheetFormatPr defaultRowHeight="14.6" x14ac:dyDescent="0.4"/>
  <cols>
    <col min="1" max="1" width="34" customWidth="1"/>
    <col min="2" max="10" width="14" customWidth="1"/>
  </cols>
  <sheetData>
    <row r="1" spans="1:10" ht="17.600000000000001" x14ac:dyDescent="0.4">
      <c r="A1" s="1" t="s">
        <v>46</v>
      </c>
    </row>
    <row r="2" spans="1:10" x14ac:dyDescent="0.4">
      <c r="A2" s="2" t="s">
        <v>47</v>
      </c>
    </row>
    <row r="4" spans="1:10" ht="28.3" x14ac:dyDescent="0.4">
      <c r="A4" s="5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54</v>
      </c>
      <c r="H4" s="5" t="s">
        <v>55</v>
      </c>
      <c r="I4" s="5" t="s">
        <v>56</v>
      </c>
      <c r="J4" s="5" t="s">
        <v>57</v>
      </c>
    </row>
    <row r="5" spans="1:10" x14ac:dyDescent="0.4">
      <c r="A5" s="3" t="s">
        <v>58</v>
      </c>
      <c r="B5" s="9">
        <f>SUMIFS(Data!$D$2:$D$23,Data!$A$2:$A$23,2026,Data!$B$2:$B$23,3,Data!$C$2:$C$23,"Friday")</f>
        <v>20</v>
      </c>
      <c r="C5" s="9">
        <f>SUMIFS(Data!$D$2:$D$23,Data!$A$2:$A$23,2026,Data!$B$2:$B$23,3,Data!$C$2:$C$23,"Saturday")</f>
        <v>36.6</v>
      </c>
      <c r="D5" s="9">
        <f>B5+C5</f>
        <v>56.6</v>
      </c>
      <c r="E5" s="17"/>
      <c r="F5" s="17"/>
      <c r="G5" s="18"/>
      <c r="H5" s="17"/>
      <c r="I5" s="17"/>
      <c r="J5" s="18"/>
    </row>
    <row r="6" spans="1:10" x14ac:dyDescent="0.4">
      <c r="A6" s="10" t="s">
        <v>59</v>
      </c>
      <c r="B6" s="9">
        <f>Forecast!F6</f>
        <v>21.284225592607477</v>
      </c>
      <c r="C6" s="9">
        <f>Forecast!F7</f>
        <v>45.41725350229445</v>
      </c>
      <c r="D6" s="9">
        <f>B6+C6</f>
        <v>66.701479094901927</v>
      </c>
      <c r="E6" s="9">
        <f>$D$5</f>
        <v>56.6</v>
      </c>
      <c r="F6" s="9">
        <f>D6-E6</f>
        <v>10.101479094901926</v>
      </c>
      <c r="G6" s="11">
        <f>F6/E6</f>
        <v>0.17847136210074074</v>
      </c>
      <c r="H6" s="9">
        <f>B6-$B$5</f>
        <v>1.284225592607477</v>
      </c>
      <c r="I6" s="9">
        <f>C6-$C$5</f>
        <v>8.8172535022944487</v>
      </c>
      <c r="J6" s="11">
        <f>IF(F6=0,0,H6/F6)</f>
        <v>0.12713243085912118</v>
      </c>
    </row>
    <row r="7" spans="1:10" x14ac:dyDescent="0.4">
      <c r="A7" s="10" t="s">
        <v>60</v>
      </c>
      <c r="B7" s="9">
        <f>Forecast!D15</f>
        <v>30.53830227743271</v>
      </c>
      <c r="C7" s="9">
        <f>Forecast!D16</f>
        <v>44.772256728778466</v>
      </c>
      <c r="D7" s="9">
        <f>B7+C7</f>
        <v>75.310559006211179</v>
      </c>
      <c r="E7" s="9">
        <f>$D$5</f>
        <v>56.6</v>
      </c>
      <c r="F7" s="9">
        <f>D7-E7</f>
        <v>18.710559006211177</v>
      </c>
      <c r="G7" s="11">
        <f>F7/E7</f>
        <v>0.33057524745956141</v>
      </c>
      <c r="H7" s="9">
        <f>B7-$B$5</f>
        <v>10.53830227743271</v>
      </c>
      <c r="I7" s="9">
        <f>C7-$C$5</f>
        <v>8.1722567287784642</v>
      </c>
      <c r="J7" s="11">
        <f>IF(F7=0,0,H7/F7)</f>
        <v>0.56322754835568534</v>
      </c>
    </row>
    <row r="8" spans="1:10" x14ac:dyDescent="0.4">
      <c r="A8" s="12" t="s">
        <v>61</v>
      </c>
      <c r="B8" s="14">
        <f>Forecast!C29</f>
        <v>28.112968776742079</v>
      </c>
      <c r="C8" s="14">
        <f>Forecast!C30</f>
        <v>37.504320882006574</v>
      </c>
      <c r="D8" s="14">
        <f>B8+C8</f>
        <v>65.61728965874866</v>
      </c>
      <c r="E8" s="14">
        <f>$D$5</f>
        <v>56.6</v>
      </c>
      <c r="F8" s="14">
        <f>D8-E8</f>
        <v>9.0172896587486591</v>
      </c>
      <c r="G8" s="13">
        <f>F8/E8</f>
        <v>0.15931607170934026</v>
      </c>
      <c r="H8" s="14">
        <f>B8-$B$5</f>
        <v>8.1129687767420791</v>
      </c>
      <c r="I8" s="14">
        <f>C8-$C$5</f>
        <v>0.9043208820065729</v>
      </c>
      <c r="J8" s="13">
        <f>IF(F8=0,0,H8/F8)</f>
        <v>0.8997125615090783</v>
      </c>
    </row>
    <row r="10" spans="1:10" x14ac:dyDescent="0.4">
      <c r="A10" s="3" t="s">
        <v>62</v>
      </c>
    </row>
    <row r="11" spans="1:10" x14ac:dyDescent="0.4">
      <c r="A11" s="4" t="s">
        <v>63</v>
      </c>
    </row>
    <row r="12" spans="1:10" x14ac:dyDescent="0.4">
      <c r="A12" s="3" t="s">
        <v>64</v>
      </c>
    </row>
    <row r="13" spans="1:10" ht="28.3" x14ac:dyDescent="0.4">
      <c r="A13" s="5" t="s">
        <v>14</v>
      </c>
      <c r="B13" s="5" t="s">
        <v>65</v>
      </c>
    </row>
    <row r="14" spans="1:10" x14ac:dyDescent="0.4">
      <c r="A14" s="10">
        <v>2024</v>
      </c>
      <c r="B14" s="11">
        <f>Forecast!B22</f>
        <v>0.22233152975897688</v>
      </c>
    </row>
    <row r="15" spans="1:10" x14ac:dyDescent="0.4">
      <c r="A15" s="10">
        <v>2025</v>
      </c>
      <c r="B15" s="11">
        <f>Forecast!C22</f>
        <v>0.20486111111111108</v>
      </c>
    </row>
    <row r="16" spans="1:10" x14ac:dyDescent="0.4">
      <c r="A16" s="10" t="s">
        <v>66</v>
      </c>
      <c r="B16" s="11">
        <f>SUMIFS(Data!$D$2:$D$23,Data!$A$2:$A$23,2026,Data!$B$2:$B$23,3,Data!$C$2:$C$23,"Friday")/(SUMIFS(Data!$D$2:$D$23,Data!$A$2:$A$23,2026,Data!$B$2:$B$23,2,Data!$C$2:$C$23,"Friday")+SUMIFS(Data!$D$2:$D$23,Data!$A$2:$A$23,2026,Data!$B$2:$B$23,2,Data!$C$2:$C$23,"Saturday")+SUMIFS(Data!$D$2:$D$23,Data!$A$2:$A$23,2026,Data!$B$2:$B$23,3,Data!$C$2:$C$23,"Friday")+SUMIFS(Data!$D$2:$D$23,Data!$A$2:$A$23,2026,Data!$B$2:$B$23,3,Data!$C$2:$C$23,"Saturday"))</f>
        <v>0.16313213703099511</v>
      </c>
    </row>
    <row r="18" spans="1:1" x14ac:dyDescent="0.4">
      <c r="A18" s="4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/>
  </sheetViews>
  <sheetFormatPr defaultRowHeight="14.6" x14ac:dyDescent="0.4"/>
  <cols>
    <col min="1" max="1" width="16" customWidth="1"/>
  </cols>
  <sheetData>
    <row r="1" spans="1:3" ht="28.3" x14ac:dyDescent="0.4">
      <c r="A1" s="5" t="s">
        <v>39</v>
      </c>
      <c r="B1" s="5" t="s">
        <v>18</v>
      </c>
      <c r="C1" s="5" t="s">
        <v>19</v>
      </c>
    </row>
    <row r="2" spans="1:3" x14ac:dyDescent="0.4">
      <c r="A2" s="10" t="s">
        <v>68</v>
      </c>
      <c r="B2" s="9">
        <f>SUMIFS(Data!$D$2:$D$23,Data!$A$2:$A$23,2023,Data!$B$2:$B$23,2,Data!$C$2:$C$23,"Friday")</f>
        <v>55.1</v>
      </c>
      <c r="C2" s="9">
        <f>SUMIFS(Data!$D$2:$D$23,Data!$A$2:$A$23,2023,Data!$B$2:$B$23,2,Data!$C$2:$C$23,"Saturday")</f>
        <v>41.6</v>
      </c>
    </row>
    <row r="3" spans="1:3" x14ac:dyDescent="0.4">
      <c r="A3" s="10" t="s">
        <v>36</v>
      </c>
      <c r="B3" s="9">
        <f>SUMIFS(Data!$D$2:$D$23,Data!$A$2:$A$23,2024,Data!$B$2:$B$23,2,Data!$C$2:$C$23,"Friday")</f>
        <v>52.4</v>
      </c>
      <c r="C3" s="9">
        <f>SUMIFS(Data!$D$2:$D$23,Data!$A$2:$A$23,2024,Data!$B$2:$B$23,2,Data!$C$2:$C$23,"Saturday")</f>
        <v>50.9</v>
      </c>
    </row>
    <row r="4" spans="1:3" x14ac:dyDescent="0.4">
      <c r="A4" s="10" t="s">
        <v>37</v>
      </c>
      <c r="B4" s="9">
        <f>SUMIFS(Data!$D$2:$D$23,Data!$A$2:$A$23,2025,Data!$B$2:$B$23,2,Data!$C$2:$C$23,"Friday")</f>
        <v>30.4</v>
      </c>
      <c r="C4" s="9">
        <f>SUMIFS(Data!$D$2:$D$23,Data!$A$2:$A$23,2025,Data!$B$2:$B$23,2,Data!$C$2:$C$23,"Saturday")</f>
        <v>55.1</v>
      </c>
    </row>
    <row r="5" spans="1:3" x14ac:dyDescent="0.4">
      <c r="A5" s="10" t="s">
        <v>69</v>
      </c>
      <c r="B5" s="9">
        <f>SUMIFS(Data!$D$2:$D$23,Data!$A$2:$A$23,2026,Data!$B$2:$B$23,2,Data!$C$2:$C$23,"Friday")</f>
        <v>21</v>
      </c>
      <c r="C5" s="9">
        <f>SUMIFS(Data!$D$2:$D$23,Data!$A$2:$A$23,2026,Data!$B$2:$B$23,2,Data!$C$2:$C$23,"Saturday")</f>
        <v>45</v>
      </c>
    </row>
    <row r="20" spans="1:3" ht="28.3" x14ac:dyDescent="0.4">
      <c r="A20" s="5" t="s">
        <v>70</v>
      </c>
      <c r="B20" s="5" t="s">
        <v>18</v>
      </c>
      <c r="C20" s="5" t="s">
        <v>19</v>
      </c>
    </row>
    <row r="21" spans="1:3" x14ac:dyDescent="0.4">
      <c r="A21" s="10" t="s">
        <v>71</v>
      </c>
      <c r="B21" s="9">
        <f>SUMIFS(Data!$D$2:$D$23,Data!$A$2:$A$23,2024,Data!$B$2:$B$23,3,Data!$C$2:$C$23,"Friday")</f>
        <v>45.2</v>
      </c>
      <c r="C21" s="9">
        <f>SUMIFS(Data!$D$2:$D$23,Data!$A$2:$A$23,2024,Data!$B$2:$B$23,3,Data!$C$2:$C$23,"Saturday")</f>
        <v>54.8</v>
      </c>
    </row>
    <row r="22" spans="1:3" x14ac:dyDescent="0.4">
      <c r="A22" s="10" t="s">
        <v>72</v>
      </c>
      <c r="B22" s="9">
        <f>SUMIFS(Data!$D$2:$D$23,Data!$A$2:$A$23,2025,Data!$B$2:$B$23,3,Data!$C$2:$C$23,"Friday")</f>
        <v>35.4</v>
      </c>
      <c r="C22" s="9">
        <f>SUMIFS(Data!$D$2:$D$23,Data!$A$2:$A$23,2025,Data!$B$2:$B$23,3,Data!$C$2:$C$23,"Saturday")</f>
        <v>51.9</v>
      </c>
    </row>
    <row r="23" spans="1:3" x14ac:dyDescent="0.4">
      <c r="A23" s="10" t="s">
        <v>73</v>
      </c>
      <c r="B23" s="9">
        <f>Forecast!C29</f>
        <v>28.112968776742079</v>
      </c>
      <c r="C23" s="9">
        <f>Forecast!C30</f>
        <v>37.504320882006574</v>
      </c>
    </row>
    <row r="24" spans="1:3" x14ac:dyDescent="0.4">
      <c r="A24" s="10" t="s">
        <v>74</v>
      </c>
      <c r="B24" s="9">
        <f>SUMIFS(Data!$D$2:$D$23,Data!$A$2:$A$23,2026,Data!$B$2:$B$23,3,Data!$C$2:$C$23,"Friday")</f>
        <v>20</v>
      </c>
      <c r="C24" s="9">
        <f>SUMIFS(Data!$D$2:$D$23,Data!$A$2:$A$23,2026,Data!$B$2:$B$23,3,Data!$C$2:$C$23,"Saturday")</f>
        <v>36.6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Forecast</vt:lpstr>
      <vt:lpstr>Evaluation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Fong</cp:lastModifiedBy>
  <dcterms:created xsi:type="dcterms:W3CDTF">2026-09-25T15:33:49Z</dcterms:created>
  <dcterms:modified xsi:type="dcterms:W3CDTF">2026-09-25T15:34:00Z</dcterms:modified>
</cp:coreProperties>
</file>